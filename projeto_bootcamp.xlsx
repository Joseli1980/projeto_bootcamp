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LI\Desktop\"/>
    </mc:Choice>
  </mc:AlternateContent>
  <bookViews>
    <workbookView xWindow="0" yWindow="0" windowWidth="20400" windowHeight="7095" activeTab="2"/>
  </bookViews>
  <sheets>
    <sheet name="Dados" sheetId="1" r:id="rId1"/>
    <sheet name="Caixinha" sheetId="3" r:id="rId2"/>
    <sheet name="Gráfico" sheetId="4" r:id="rId3"/>
  </sheets>
  <calcPr calcId="162913"/>
  <pivotCaches>
    <pivotCache cacheId="11" r:id="rId4"/>
    <pivotCache cacheId="1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3" i="3"/>
  <c r="F3" i="3"/>
  <c r="F4" i="3"/>
  <c r="F5" i="3"/>
  <c r="F6" i="3"/>
  <c r="F7" i="3"/>
  <c r="F8" i="3"/>
  <c r="F9" i="3"/>
  <c r="F10" i="3"/>
  <c r="H3" i="3"/>
  <c r="H4" i="3" l="1"/>
  <c r="H5" i="3" s="1"/>
  <c r="H6" i="3" s="1"/>
  <c r="H7" i="3" s="1"/>
  <c r="H8" i="3" s="1"/>
  <c r="H9" i="3" s="1"/>
  <c r="H10" i="3" s="1"/>
  <c r="H11" i="3" s="1"/>
</calcChain>
</file>

<file path=xl/sharedStrings.xml><?xml version="1.0" encoding="utf-8"?>
<sst xmlns="http://schemas.openxmlformats.org/spreadsheetml/2006/main" count="190" uniqueCount="37">
  <si>
    <t>Descrição</t>
  </si>
  <si>
    <t>Receita/Despesa</t>
  </si>
  <si>
    <t>Data</t>
  </si>
  <si>
    <t>Mês</t>
  </si>
  <si>
    <t>Valor (R$)</t>
  </si>
  <si>
    <t>Salário</t>
  </si>
  <si>
    <t>Receita</t>
  </si>
  <si>
    <t>Janeiro</t>
  </si>
  <si>
    <t>Aluguel</t>
  </si>
  <si>
    <t>Despesa</t>
  </si>
  <si>
    <t>Supermercado</t>
  </si>
  <si>
    <t>Academia</t>
  </si>
  <si>
    <t>Freelancer Projeto 1</t>
  </si>
  <si>
    <t>Restaurante</t>
  </si>
  <si>
    <t>Fevereiro</t>
  </si>
  <si>
    <t>Freelancer Projeto 2</t>
  </si>
  <si>
    <t>Março</t>
  </si>
  <si>
    <t>Freelancer Projeto 3</t>
  </si>
  <si>
    <t>Abril</t>
  </si>
  <si>
    <t>Freelancer Projeto 4</t>
  </si>
  <si>
    <t>Maio</t>
  </si>
  <si>
    <t>Freelancer Projeto 5</t>
  </si>
  <si>
    <t>Junho</t>
  </si>
  <si>
    <t>Freelancer Projeto 6</t>
  </si>
  <si>
    <t>Julho</t>
  </si>
  <si>
    <t>Freelancer Projeto 7</t>
  </si>
  <si>
    <t>Agosto</t>
  </si>
  <si>
    <t>Freelancer Projeto 8</t>
  </si>
  <si>
    <t>Rótulos de Linha</t>
  </si>
  <si>
    <t>(vazio)</t>
  </si>
  <si>
    <t>Total Geral</t>
  </si>
  <si>
    <t>Rótulos de Coluna</t>
  </si>
  <si>
    <t>Soma de Valor (R$)</t>
  </si>
  <si>
    <t>Diferença/Caixinha</t>
  </si>
  <si>
    <t>Acumulado</t>
  </si>
  <si>
    <t>Selecione o Mês</t>
  </si>
  <si>
    <t>Soma de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</si>
</sst>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9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169" fontId="0" fillId="0" borderId="0" xfId="1" applyNumberFormat="1" applyFont="1"/>
    <xf numFmtId="0" fontId="2" fillId="3" borderId="0" xfId="0" applyFont="1" applyFill="1" applyAlignment="1">
      <alignment horizontal="center" vertical="center" wrapText="1"/>
    </xf>
    <xf numFmtId="169" fontId="2" fillId="3" borderId="0" xfId="1" applyNumberFormat="1" applyFont="1" applyFill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69" fontId="0" fillId="0" borderId="2" xfId="1" applyNumberFormat="1" applyFont="1" applyBorder="1" applyAlignment="1">
      <alignment vertical="center" wrapText="1"/>
    </xf>
    <xf numFmtId="43" fontId="2" fillId="2" borderId="0" xfId="1" applyFont="1" applyFill="1"/>
    <xf numFmtId="43" fontId="2" fillId="2" borderId="1" xfId="1" applyFont="1" applyFill="1" applyBorder="1"/>
    <xf numFmtId="169" fontId="0" fillId="0" borderId="0" xfId="0" applyNumberFormat="1"/>
    <xf numFmtId="0" fontId="3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39"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font>
        <b/>
        <i val="0"/>
        <color rgb="FF002060"/>
      </font>
    </dxf>
    <dxf>
      <font>
        <color rgb="FFFF0000"/>
      </font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  <dxf>
      <numFmt numFmtId="169" formatCode="#,##0.00_ ;[Red]\-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[projeto_bootcamp.xlsx]Gráfico!Tabela dinâmica2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Gráfico!$A$5:$A$11</c:f>
              <c:strCache>
                <c:ptCount val="6"/>
                <c:pt idx="0">
                  <c:v>Academia</c:v>
                </c:pt>
                <c:pt idx="1">
                  <c:v>Aluguel</c:v>
                </c:pt>
                <c:pt idx="2">
                  <c:v>Freelancer Projeto 8</c:v>
                </c:pt>
                <c:pt idx="3">
                  <c:v>Restaurante</c:v>
                </c:pt>
                <c:pt idx="4">
                  <c:v>Salário</c:v>
                </c:pt>
                <c:pt idx="5">
                  <c:v>Supermercado</c:v>
                </c:pt>
              </c:strCache>
            </c:strRef>
          </c:cat>
          <c:val>
            <c:numRef>
              <c:f>Gráfico!$B$5:$B$11</c:f>
              <c:numCache>
                <c:formatCode>#,##0.00_ ;[Red]\-#,##0.00\ </c:formatCode>
                <c:ptCount val="6"/>
                <c:pt idx="0">
                  <c:v>-100</c:v>
                </c:pt>
                <c:pt idx="1">
                  <c:v>-1200</c:v>
                </c:pt>
                <c:pt idx="2">
                  <c:v>2800</c:v>
                </c:pt>
                <c:pt idx="3">
                  <c:v>-500</c:v>
                </c:pt>
                <c:pt idx="4">
                  <c:v>5000</c:v>
                </c:pt>
                <c:pt idx="5">
                  <c:v>-750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D-43A9-BE61-21AF0F611E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3655312"/>
        <c:axId val="336340352"/>
      </c:barChart>
      <c:catAx>
        <c:axId val="29365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6340352"/>
        <c:crosses val="autoZero"/>
        <c:auto val="1"/>
        <c:lblAlgn val="ctr"/>
        <c:lblOffset val="100"/>
        <c:noMultiLvlLbl val="0"/>
      </c:catAx>
      <c:valAx>
        <c:axId val="3363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365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214311</xdr:colOff>
      <xdr:row>0</xdr:row>
      <xdr:rowOff>128587</xdr:rowOff>
    </xdr:from>
    <xdr:to>
      <xdr:col>13</xdr:col>
      <xdr:colOff>314324</xdr:colOff>
      <xdr:row>19</xdr:row>
      <xdr:rowOff>28575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SELI" refreshedDate="45648.414782754633" createdVersion="6" refreshedVersion="6" minRefreshableVersion="3" recordCount="49">
  <cacheSource type="worksheet">
    <worksheetSource ref="A1:E1048576" sheet="Dados"/>
  </cacheSource>
  <cacheFields count="6">
    <cacheField name="Descrição" numFmtId="0">
      <sharedItems containsBlank="1" count="14">
        <s v="Salário"/>
        <s v="Aluguel"/>
        <s v="Supermercado"/>
        <s v="Academia"/>
        <s v="Freelancer Projeto 1"/>
        <s v="Restaurante"/>
        <s v="Freelancer Projeto 2"/>
        <s v="Freelancer Projeto 3"/>
        <s v="Freelancer Projeto 4"/>
        <s v="Freelancer Projeto 5"/>
        <s v="Freelancer Projeto 6"/>
        <s v="Freelancer Projeto 7"/>
        <s v="Freelancer Projeto 8"/>
        <m/>
      </sharedItems>
    </cacheField>
    <cacheField name="Receita/Despesa" numFmtId="0">
      <sharedItems containsBlank="1" count="3">
        <s v="Receita"/>
        <s v="Despesa"/>
        <m/>
      </sharedItems>
    </cacheField>
    <cacheField name="Data" numFmtId="0">
      <sharedItems containsNonDate="0" containsDate="1" containsString="0" containsBlank="1" minDate="2024-01-05T00:00:00" maxDate="2024-08-29T00:00:00" count="49">
        <d v="2024-01-05T00:00:00"/>
        <d v="2024-01-10T00:00:00"/>
        <d v="2024-01-15T00:00:00"/>
        <d v="2024-01-20T00:00:00"/>
        <d v="2024-01-25T00:00:00"/>
        <d v="2024-01-28T00:00:00"/>
        <d v="2024-02-05T00:00:00"/>
        <d v="2024-02-10T00:00:00"/>
        <d v="2024-02-15T00:00:00"/>
        <d v="2024-02-20T00:00:00"/>
        <d v="2024-02-25T00:00:00"/>
        <d v="2024-02-28T00:00:00"/>
        <d v="2024-03-05T00:00:00"/>
        <d v="2024-03-10T00:00:00"/>
        <d v="2024-03-15T00:00:00"/>
        <d v="2024-03-20T00:00:00"/>
        <d v="2024-03-25T00:00:00"/>
        <d v="2024-03-28T00:00:00"/>
        <d v="2024-04-05T00:00:00"/>
        <d v="2024-04-10T00:00:00"/>
        <d v="2024-04-15T00:00:00"/>
        <d v="2024-04-20T00:00:00"/>
        <d v="2024-04-25T00:00:00"/>
        <d v="2024-04-28T00:00:00"/>
        <d v="2024-05-05T00:00:00"/>
        <d v="2024-05-10T00:00:00"/>
        <d v="2024-05-15T00:00:00"/>
        <d v="2024-05-20T00:00:00"/>
        <d v="2024-05-25T00:00:00"/>
        <d v="2024-05-28T00:00:00"/>
        <d v="2024-06-05T00:00:00"/>
        <d v="2024-06-10T00:00:00"/>
        <d v="2024-06-15T00:00:00"/>
        <d v="2024-06-20T00:00:00"/>
        <d v="2024-06-25T00:00:00"/>
        <d v="2024-06-28T00:00:00"/>
        <d v="2024-07-05T00:00:00"/>
        <d v="2024-07-10T00:00:00"/>
        <d v="2024-07-15T00:00:00"/>
        <d v="2024-07-20T00:00:00"/>
        <d v="2024-07-25T00:00:00"/>
        <d v="2024-07-28T00:00:00"/>
        <d v="2024-08-05T00:00:00"/>
        <d v="2024-08-10T00:00:00"/>
        <d v="2024-08-15T00:00:00"/>
        <d v="2024-08-20T00:00:00"/>
        <d v="2024-08-25T00:00:00"/>
        <d v="2024-08-28T00:00:00"/>
        <m/>
      </sharedItems>
      <fieldGroup par="5" base="2">
        <rangePr groupBy="days" startDate="2024-01-05T00:00:00" endDate="2024-08-29T00:00:00"/>
        <groupItems count="368">
          <s v="(vazio)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9/08/2024"/>
        </groupItems>
      </fieldGroup>
    </cacheField>
    <cacheField name="Mês" numFmtId="0">
      <sharedItems containsBlank="1" count="9">
        <s v="Janeiro"/>
        <s v="Fevereiro"/>
        <s v="Março"/>
        <s v="Abril"/>
        <s v="Maio"/>
        <s v="Junho"/>
        <s v="Julho"/>
        <s v="Agosto"/>
        <m/>
      </sharedItems>
    </cacheField>
    <cacheField name="Valor (R$)" numFmtId="169">
      <sharedItems containsString="0" containsBlank="1" containsNumber="1" containsInteger="1" minValue="-1200" maxValue="5000"/>
    </cacheField>
    <cacheField name="Meses" numFmtId="0" databaseField="0">
      <fieldGroup base="2">
        <rangePr groupBy="months" startDate="2024-01-05T00:00:00" endDate="2024-08-29T00:00:00"/>
        <groupItems count="14">
          <s v="&lt;05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08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SELI" refreshedDate="45648.427789699075" createdVersion="6" refreshedVersion="6" minRefreshableVersion="3" recordCount="8">
  <cacheSource type="worksheet">
    <worksheetSource ref="G2:H10" sheet="Caixinha"/>
  </cacheSource>
  <cacheFields count="2">
    <cacheField name="Mês" numFmtId="0">
      <sharedItems count="8">
        <s v="Janeiro"/>
        <s v="Fevereiro"/>
        <s v="Março"/>
        <s v="Abril"/>
        <s v="Maio"/>
        <s v="Junho"/>
        <s v="Julho"/>
        <s v="Agosto"/>
      </sharedItems>
    </cacheField>
    <cacheField name="Acumulado" numFmtId="43">
      <sharedItems containsSemiMixedTypes="0" containsString="0" containsNumber="1" containsInteger="1" minValue="4350" maxValue="3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x v="0"/>
    <x v="0"/>
    <n v="5000"/>
  </r>
  <r>
    <x v="1"/>
    <x v="1"/>
    <x v="1"/>
    <x v="0"/>
    <n v="-1200"/>
  </r>
  <r>
    <x v="2"/>
    <x v="1"/>
    <x v="2"/>
    <x v="0"/>
    <n v="-400"/>
  </r>
  <r>
    <x v="3"/>
    <x v="1"/>
    <x v="3"/>
    <x v="0"/>
    <n v="-100"/>
  </r>
  <r>
    <x v="4"/>
    <x v="0"/>
    <x v="4"/>
    <x v="0"/>
    <n v="1200"/>
  </r>
  <r>
    <x v="5"/>
    <x v="1"/>
    <x v="5"/>
    <x v="0"/>
    <n v="-150"/>
  </r>
  <r>
    <x v="0"/>
    <x v="0"/>
    <x v="6"/>
    <x v="1"/>
    <n v="5000"/>
  </r>
  <r>
    <x v="1"/>
    <x v="1"/>
    <x v="7"/>
    <x v="1"/>
    <n v="-1200"/>
  </r>
  <r>
    <x v="2"/>
    <x v="1"/>
    <x v="8"/>
    <x v="1"/>
    <n v="-450"/>
  </r>
  <r>
    <x v="3"/>
    <x v="1"/>
    <x v="9"/>
    <x v="1"/>
    <n v="-100"/>
  </r>
  <r>
    <x v="6"/>
    <x v="0"/>
    <x v="10"/>
    <x v="1"/>
    <n v="1500"/>
  </r>
  <r>
    <x v="5"/>
    <x v="1"/>
    <x v="11"/>
    <x v="1"/>
    <n v="-200"/>
  </r>
  <r>
    <x v="0"/>
    <x v="0"/>
    <x v="12"/>
    <x v="2"/>
    <n v="5000"/>
  </r>
  <r>
    <x v="1"/>
    <x v="1"/>
    <x v="13"/>
    <x v="2"/>
    <n v="-1200"/>
  </r>
  <r>
    <x v="2"/>
    <x v="1"/>
    <x v="14"/>
    <x v="2"/>
    <n v="-500"/>
  </r>
  <r>
    <x v="3"/>
    <x v="1"/>
    <x v="15"/>
    <x v="2"/>
    <n v="-100"/>
  </r>
  <r>
    <x v="7"/>
    <x v="0"/>
    <x v="16"/>
    <x v="2"/>
    <n v="1800"/>
  </r>
  <r>
    <x v="5"/>
    <x v="1"/>
    <x v="17"/>
    <x v="2"/>
    <n v="-250"/>
  </r>
  <r>
    <x v="0"/>
    <x v="0"/>
    <x v="18"/>
    <x v="3"/>
    <n v="5000"/>
  </r>
  <r>
    <x v="1"/>
    <x v="1"/>
    <x v="19"/>
    <x v="3"/>
    <n v="-1200"/>
  </r>
  <r>
    <x v="2"/>
    <x v="1"/>
    <x v="20"/>
    <x v="3"/>
    <n v="-550"/>
  </r>
  <r>
    <x v="3"/>
    <x v="1"/>
    <x v="21"/>
    <x v="3"/>
    <n v="-100"/>
  </r>
  <r>
    <x v="8"/>
    <x v="0"/>
    <x v="22"/>
    <x v="3"/>
    <n v="2000"/>
  </r>
  <r>
    <x v="5"/>
    <x v="1"/>
    <x v="23"/>
    <x v="3"/>
    <n v="-300"/>
  </r>
  <r>
    <x v="0"/>
    <x v="0"/>
    <x v="24"/>
    <x v="4"/>
    <n v="5000"/>
  </r>
  <r>
    <x v="1"/>
    <x v="1"/>
    <x v="25"/>
    <x v="4"/>
    <n v="-1200"/>
  </r>
  <r>
    <x v="2"/>
    <x v="1"/>
    <x v="26"/>
    <x v="4"/>
    <n v="-600"/>
  </r>
  <r>
    <x v="3"/>
    <x v="1"/>
    <x v="27"/>
    <x v="4"/>
    <n v="-100"/>
  </r>
  <r>
    <x v="9"/>
    <x v="0"/>
    <x v="28"/>
    <x v="4"/>
    <n v="2200"/>
  </r>
  <r>
    <x v="5"/>
    <x v="1"/>
    <x v="29"/>
    <x v="4"/>
    <n v="-350"/>
  </r>
  <r>
    <x v="0"/>
    <x v="0"/>
    <x v="30"/>
    <x v="5"/>
    <n v="5000"/>
  </r>
  <r>
    <x v="1"/>
    <x v="1"/>
    <x v="31"/>
    <x v="5"/>
    <n v="-1200"/>
  </r>
  <r>
    <x v="2"/>
    <x v="1"/>
    <x v="32"/>
    <x v="5"/>
    <n v="-650"/>
  </r>
  <r>
    <x v="3"/>
    <x v="1"/>
    <x v="33"/>
    <x v="5"/>
    <n v="-100"/>
  </r>
  <r>
    <x v="10"/>
    <x v="0"/>
    <x v="34"/>
    <x v="5"/>
    <n v="2400"/>
  </r>
  <r>
    <x v="5"/>
    <x v="1"/>
    <x v="35"/>
    <x v="5"/>
    <n v="-400"/>
  </r>
  <r>
    <x v="0"/>
    <x v="0"/>
    <x v="36"/>
    <x v="6"/>
    <n v="5000"/>
  </r>
  <r>
    <x v="1"/>
    <x v="1"/>
    <x v="37"/>
    <x v="6"/>
    <n v="-1200"/>
  </r>
  <r>
    <x v="2"/>
    <x v="1"/>
    <x v="38"/>
    <x v="6"/>
    <n v="-700"/>
  </r>
  <r>
    <x v="3"/>
    <x v="1"/>
    <x v="39"/>
    <x v="6"/>
    <n v="-100"/>
  </r>
  <r>
    <x v="11"/>
    <x v="0"/>
    <x v="40"/>
    <x v="6"/>
    <n v="2600"/>
  </r>
  <r>
    <x v="5"/>
    <x v="1"/>
    <x v="41"/>
    <x v="6"/>
    <n v="-450"/>
  </r>
  <r>
    <x v="0"/>
    <x v="0"/>
    <x v="42"/>
    <x v="7"/>
    <n v="5000"/>
  </r>
  <r>
    <x v="1"/>
    <x v="1"/>
    <x v="43"/>
    <x v="7"/>
    <n v="-1200"/>
  </r>
  <r>
    <x v="2"/>
    <x v="1"/>
    <x v="44"/>
    <x v="7"/>
    <n v="-750"/>
  </r>
  <r>
    <x v="3"/>
    <x v="1"/>
    <x v="45"/>
    <x v="7"/>
    <n v="-100"/>
  </r>
  <r>
    <x v="12"/>
    <x v="0"/>
    <x v="46"/>
    <x v="7"/>
    <n v="2800"/>
  </r>
  <r>
    <x v="5"/>
    <x v="1"/>
    <x v="47"/>
    <x v="7"/>
    <n v="-500"/>
  </r>
  <r>
    <x v="13"/>
    <x v="2"/>
    <x v="48"/>
    <x v="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x v="0"/>
    <n v="4350"/>
  </r>
  <r>
    <x v="1"/>
    <n v="8900"/>
  </r>
  <r>
    <x v="2"/>
    <n v="13650"/>
  </r>
  <r>
    <x v="3"/>
    <n v="18500"/>
  </r>
  <r>
    <x v="4"/>
    <n v="23450"/>
  </r>
  <r>
    <x v="5"/>
    <n v="28500"/>
  </r>
  <r>
    <x v="6"/>
    <n v="33650"/>
  </r>
  <r>
    <x v="7"/>
    <n v="38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1" applyNumberFormats="0" applyBorderFormats="0" applyFontFormats="0" applyPatternFormats="0" applyAlignmentFormats="0" applyWidthHeightFormats="1" dataCaption="Valores" grandTotalCaption="Diferença/Caixinha" updatedVersion="6" minRefreshableVersion="3" useAutoFormatting="1" itemPrintTitles="1" createdVersion="6" indent="0" outline="1" outlineData="1" multipleFieldFilters="0">
  <location ref="A1:E12" firstHeaderRow="1" firstDataRow="2" firstDataCol="1"/>
  <pivotFields count="6">
    <pivotField showAll="0"/>
    <pivotField axis="axisCol" showAll="0">
      <items count="4">
        <item x="1"/>
        <item x="0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a de Valor (R$)" fld="4" baseField="3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18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>
  <location ref="A17:B25" firstHeaderRow="1" firstDataRow="1" firstDataCol="1"/>
  <pivotFields count="2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43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oma de Acumulado" fld="1" baseField="0" baseItem="0" numFmtId="169"/>
  </dataFields>
  <formats count="3">
    <format dxfId="3">
      <pivotArea outline="0" collapsedLevelsAreSubtotals="1" fieldPosition="0"/>
    </format>
    <format dxfId="4">
      <pivotArea dataOnly="0" labelOnly="1" outline="0" axis="axisValues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4:B11" firstHeaderRow="1" firstDataRow="1" firstDataCol="1" rowPageCount="1" colPageCount="1"/>
  <pivotFields count="6">
    <pivotField axis="axisRow" showAll="0">
      <items count="15">
        <item x="3"/>
        <item x="1"/>
        <item x="4"/>
        <item x="6"/>
        <item x="7"/>
        <item x="8"/>
        <item x="9"/>
        <item x="10"/>
        <item x="11"/>
        <item x="12"/>
        <item x="5"/>
        <item x="0"/>
        <item x="2"/>
        <item x="13"/>
        <item t="default"/>
      </items>
    </pivotField>
    <pivotField showAll="0"/>
    <pivotField showAll="0"/>
    <pivotField axis="axisPage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 defaultSubtotal="0"/>
  </pivotFields>
  <rowFields count="1">
    <field x="0"/>
  </rowFields>
  <rowItems count="7">
    <i>
      <x/>
    </i>
    <i>
      <x v="1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3" item="7" hier="-1"/>
  </pageFields>
  <dataFields count="1">
    <dataField name="Soma de Valor (R$)" fld="4" baseField="0" baseItem="0" numFmtId="169"/>
  </dataFields>
  <formats count="8">
    <format dxfId="23">
      <pivotArea outline="0" collapsedLevelsAreSubtotals="1" fieldPosition="0"/>
    </format>
    <format dxfId="24">
      <pivotArea dataOnly="0" labelOnly="1" outline="0" fieldPosition="0">
        <references count="1">
          <reference field="3" count="1">
            <x v="0"/>
          </reference>
        </references>
      </pivotArea>
    </format>
    <format dxfId="25">
      <pivotArea dataOnly="0" labelOnly="1" outline="0" axis="axisValues" fieldPosition="0"/>
    </format>
    <format dxfId="26">
      <pivotArea dataOnly="0" labelOnly="1" outline="0" axis="axisValues" fieldPosition="0"/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3" count="1">
            <x v="7"/>
          </reference>
        </references>
      </pivotArea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B6" sqref="B6"/>
    </sheetView>
  </sheetViews>
  <sheetFormatPr defaultRowHeight="15" x14ac:dyDescent="0.25"/>
  <cols>
    <col min="1" max="1" width="14.28515625" customWidth="1"/>
    <col min="2" max="2" width="17.42578125" customWidth="1"/>
    <col min="3" max="4" width="14.28515625" customWidth="1"/>
    <col min="5" max="5" width="14.28515625" style="5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25">
      <c r="A2" s="8" t="s">
        <v>5</v>
      </c>
      <c r="B2" s="8" t="s">
        <v>6</v>
      </c>
      <c r="C2" s="9">
        <v>45296</v>
      </c>
      <c r="D2" s="8" t="s">
        <v>7</v>
      </c>
      <c r="E2" s="10">
        <v>5000</v>
      </c>
    </row>
    <row r="3" spans="1:5" x14ac:dyDescent="0.25">
      <c r="A3" s="8" t="s">
        <v>8</v>
      </c>
      <c r="B3" s="8" t="s">
        <v>9</v>
      </c>
      <c r="C3" s="9">
        <v>45301</v>
      </c>
      <c r="D3" s="8" t="s">
        <v>7</v>
      </c>
      <c r="E3" s="10">
        <v>-1200</v>
      </c>
    </row>
    <row r="4" spans="1:5" x14ac:dyDescent="0.25">
      <c r="A4" s="8" t="s">
        <v>10</v>
      </c>
      <c r="B4" s="8" t="s">
        <v>9</v>
      </c>
      <c r="C4" s="9">
        <v>45306</v>
      </c>
      <c r="D4" s="8" t="s">
        <v>7</v>
      </c>
      <c r="E4" s="10">
        <v>-400</v>
      </c>
    </row>
    <row r="5" spans="1:5" x14ac:dyDescent="0.25">
      <c r="A5" s="8" t="s">
        <v>11</v>
      </c>
      <c r="B5" s="8" t="s">
        <v>9</v>
      </c>
      <c r="C5" s="9">
        <v>45311</v>
      </c>
      <c r="D5" s="8" t="s">
        <v>7</v>
      </c>
      <c r="E5" s="10">
        <v>-100</v>
      </c>
    </row>
    <row r="6" spans="1:5" ht="30" x14ac:dyDescent="0.25">
      <c r="A6" s="8" t="s">
        <v>12</v>
      </c>
      <c r="B6" s="8" t="s">
        <v>6</v>
      </c>
      <c r="C6" s="9">
        <v>45316</v>
      </c>
      <c r="D6" s="8" t="s">
        <v>7</v>
      </c>
      <c r="E6" s="10">
        <v>1200</v>
      </c>
    </row>
    <row r="7" spans="1:5" x14ac:dyDescent="0.25">
      <c r="A7" s="8" t="s">
        <v>13</v>
      </c>
      <c r="B7" s="8" t="s">
        <v>9</v>
      </c>
      <c r="C7" s="9">
        <v>45319</v>
      </c>
      <c r="D7" s="8" t="s">
        <v>7</v>
      </c>
      <c r="E7" s="10">
        <v>-150</v>
      </c>
    </row>
    <row r="8" spans="1:5" x14ac:dyDescent="0.25">
      <c r="A8" s="8" t="s">
        <v>5</v>
      </c>
      <c r="B8" s="8" t="s">
        <v>6</v>
      </c>
      <c r="C8" s="9">
        <v>45327</v>
      </c>
      <c r="D8" s="8" t="s">
        <v>14</v>
      </c>
      <c r="E8" s="10">
        <v>5000</v>
      </c>
    </row>
    <row r="9" spans="1:5" x14ac:dyDescent="0.25">
      <c r="A9" s="8" t="s">
        <v>8</v>
      </c>
      <c r="B9" s="8" t="s">
        <v>9</v>
      </c>
      <c r="C9" s="9">
        <v>45332</v>
      </c>
      <c r="D9" s="8" t="s">
        <v>14</v>
      </c>
      <c r="E9" s="10">
        <v>-1200</v>
      </c>
    </row>
    <row r="10" spans="1:5" x14ac:dyDescent="0.25">
      <c r="A10" s="8" t="s">
        <v>10</v>
      </c>
      <c r="B10" s="8" t="s">
        <v>9</v>
      </c>
      <c r="C10" s="9">
        <v>45337</v>
      </c>
      <c r="D10" s="8" t="s">
        <v>14</v>
      </c>
      <c r="E10" s="10">
        <v>-450</v>
      </c>
    </row>
    <row r="11" spans="1:5" x14ac:dyDescent="0.25">
      <c r="A11" s="8" t="s">
        <v>11</v>
      </c>
      <c r="B11" s="8" t="s">
        <v>9</v>
      </c>
      <c r="C11" s="9">
        <v>45342</v>
      </c>
      <c r="D11" s="8" t="s">
        <v>14</v>
      </c>
      <c r="E11" s="10">
        <v>-100</v>
      </c>
    </row>
    <row r="12" spans="1:5" ht="30" x14ac:dyDescent="0.25">
      <c r="A12" s="8" t="s">
        <v>15</v>
      </c>
      <c r="B12" s="8" t="s">
        <v>6</v>
      </c>
      <c r="C12" s="9">
        <v>45347</v>
      </c>
      <c r="D12" s="8" t="s">
        <v>14</v>
      </c>
      <c r="E12" s="10">
        <v>1500</v>
      </c>
    </row>
    <row r="13" spans="1:5" x14ac:dyDescent="0.25">
      <c r="A13" s="8" t="s">
        <v>13</v>
      </c>
      <c r="B13" s="8" t="s">
        <v>9</v>
      </c>
      <c r="C13" s="9">
        <v>45350</v>
      </c>
      <c r="D13" s="8" t="s">
        <v>14</v>
      </c>
      <c r="E13" s="10">
        <v>-200</v>
      </c>
    </row>
    <row r="14" spans="1:5" x14ac:dyDescent="0.25">
      <c r="A14" s="8" t="s">
        <v>5</v>
      </c>
      <c r="B14" s="8" t="s">
        <v>6</v>
      </c>
      <c r="C14" s="9">
        <v>45356</v>
      </c>
      <c r="D14" s="8" t="s">
        <v>16</v>
      </c>
      <c r="E14" s="10">
        <v>5000</v>
      </c>
    </row>
    <row r="15" spans="1:5" x14ac:dyDescent="0.25">
      <c r="A15" s="8" t="s">
        <v>8</v>
      </c>
      <c r="B15" s="8" t="s">
        <v>9</v>
      </c>
      <c r="C15" s="9">
        <v>45361</v>
      </c>
      <c r="D15" s="8" t="s">
        <v>16</v>
      </c>
      <c r="E15" s="10">
        <v>-1200</v>
      </c>
    </row>
    <row r="16" spans="1:5" x14ac:dyDescent="0.25">
      <c r="A16" s="8" t="s">
        <v>10</v>
      </c>
      <c r="B16" s="8" t="s">
        <v>9</v>
      </c>
      <c r="C16" s="9">
        <v>45366</v>
      </c>
      <c r="D16" s="8" t="s">
        <v>16</v>
      </c>
      <c r="E16" s="10">
        <v>-500</v>
      </c>
    </row>
    <row r="17" spans="1:5" x14ac:dyDescent="0.25">
      <c r="A17" s="8" t="s">
        <v>11</v>
      </c>
      <c r="B17" s="8" t="s">
        <v>9</v>
      </c>
      <c r="C17" s="9">
        <v>45371</v>
      </c>
      <c r="D17" s="8" t="s">
        <v>16</v>
      </c>
      <c r="E17" s="10">
        <v>-100</v>
      </c>
    </row>
    <row r="18" spans="1:5" ht="30" x14ac:dyDescent="0.25">
      <c r="A18" s="8" t="s">
        <v>17</v>
      </c>
      <c r="B18" s="8" t="s">
        <v>6</v>
      </c>
      <c r="C18" s="9">
        <v>45376</v>
      </c>
      <c r="D18" s="8" t="s">
        <v>16</v>
      </c>
      <c r="E18" s="10">
        <v>1800</v>
      </c>
    </row>
    <row r="19" spans="1:5" x14ac:dyDescent="0.25">
      <c r="A19" s="8" t="s">
        <v>13</v>
      </c>
      <c r="B19" s="8" t="s">
        <v>9</v>
      </c>
      <c r="C19" s="9">
        <v>45379</v>
      </c>
      <c r="D19" s="8" t="s">
        <v>16</v>
      </c>
      <c r="E19" s="10">
        <v>-250</v>
      </c>
    </row>
    <row r="20" spans="1:5" x14ac:dyDescent="0.25">
      <c r="A20" s="8" t="s">
        <v>5</v>
      </c>
      <c r="B20" s="8" t="s">
        <v>6</v>
      </c>
      <c r="C20" s="9">
        <v>45387</v>
      </c>
      <c r="D20" s="8" t="s">
        <v>18</v>
      </c>
      <c r="E20" s="10">
        <v>5000</v>
      </c>
    </row>
    <row r="21" spans="1:5" x14ac:dyDescent="0.25">
      <c r="A21" s="8" t="s">
        <v>8</v>
      </c>
      <c r="B21" s="8" t="s">
        <v>9</v>
      </c>
      <c r="C21" s="9">
        <v>45392</v>
      </c>
      <c r="D21" s="8" t="s">
        <v>18</v>
      </c>
      <c r="E21" s="10">
        <v>-1200</v>
      </c>
    </row>
    <row r="22" spans="1:5" x14ac:dyDescent="0.25">
      <c r="A22" s="8" t="s">
        <v>10</v>
      </c>
      <c r="B22" s="8" t="s">
        <v>9</v>
      </c>
      <c r="C22" s="9">
        <v>45397</v>
      </c>
      <c r="D22" s="8" t="s">
        <v>18</v>
      </c>
      <c r="E22" s="10">
        <v>-550</v>
      </c>
    </row>
    <row r="23" spans="1:5" x14ac:dyDescent="0.25">
      <c r="A23" s="8" t="s">
        <v>11</v>
      </c>
      <c r="B23" s="8" t="s">
        <v>9</v>
      </c>
      <c r="C23" s="9">
        <v>45402</v>
      </c>
      <c r="D23" s="8" t="s">
        <v>18</v>
      </c>
      <c r="E23" s="10">
        <v>-100</v>
      </c>
    </row>
    <row r="24" spans="1:5" ht="30" x14ac:dyDescent="0.25">
      <c r="A24" s="8" t="s">
        <v>19</v>
      </c>
      <c r="B24" s="8" t="s">
        <v>6</v>
      </c>
      <c r="C24" s="9">
        <v>45407</v>
      </c>
      <c r="D24" s="8" t="s">
        <v>18</v>
      </c>
      <c r="E24" s="10">
        <v>2000</v>
      </c>
    </row>
    <row r="25" spans="1:5" x14ac:dyDescent="0.25">
      <c r="A25" s="8" t="s">
        <v>13</v>
      </c>
      <c r="B25" s="8" t="s">
        <v>9</v>
      </c>
      <c r="C25" s="9">
        <v>45410</v>
      </c>
      <c r="D25" s="8" t="s">
        <v>18</v>
      </c>
      <c r="E25" s="10">
        <v>-300</v>
      </c>
    </row>
    <row r="26" spans="1:5" x14ac:dyDescent="0.25">
      <c r="A26" s="8" t="s">
        <v>5</v>
      </c>
      <c r="B26" s="8" t="s">
        <v>6</v>
      </c>
      <c r="C26" s="9">
        <v>45417</v>
      </c>
      <c r="D26" s="8" t="s">
        <v>20</v>
      </c>
      <c r="E26" s="10">
        <v>5000</v>
      </c>
    </row>
    <row r="27" spans="1:5" x14ac:dyDescent="0.25">
      <c r="A27" s="8" t="s">
        <v>8</v>
      </c>
      <c r="B27" s="8" t="s">
        <v>9</v>
      </c>
      <c r="C27" s="9">
        <v>45422</v>
      </c>
      <c r="D27" s="8" t="s">
        <v>20</v>
      </c>
      <c r="E27" s="10">
        <v>-1200</v>
      </c>
    </row>
    <row r="28" spans="1:5" x14ac:dyDescent="0.25">
      <c r="A28" s="8" t="s">
        <v>10</v>
      </c>
      <c r="B28" s="8" t="s">
        <v>9</v>
      </c>
      <c r="C28" s="9">
        <v>45427</v>
      </c>
      <c r="D28" s="8" t="s">
        <v>20</v>
      </c>
      <c r="E28" s="10">
        <v>-600</v>
      </c>
    </row>
    <row r="29" spans="1:5" x14ac:dyDescent="0.25">
      <c r="A29" s="8" t="s">
        <v>11</v>
      </c>
      <c r="B29" s="8" t="s">
        <v>9</v>
      </c>
      <c r="C29" s="9">
        <v>45432</v>
      </c>
      <c r="D29" s="8" t="s">
        <v>20</v>
      </c>
      <c r="E29" s="10">
        <v>-100</v>
      </c>
    </row>
    <row r="30" spans="1:5" ht="30" x14ac:dyDescent="0.25">
      <c r="A30" s="8" t="s">
        <v>21</v>
      </c>
      <c r="B30" s="8" t="s">
        <v>6</v>
      </c>
      <c r="C30" s="9">
        <v>45437</v>
      </c>
      <c r="D30" s="8" t="s">
        <v>20</v>
      </c>
      <c r="E30" s="10">
        <v>2200</v>
      </c>
    </row>
    <row r="31" spans="1:5" x14ac:dyDescent="0.25">
      <c r="A31" s="8" t="s">
        <v>13</v>
      </c>
      <c r="B31" s="8" t="s">
        <v>9</v>
      </c>
      <c r="C31" s="9">
        <v>45440</v>
      </c>
      <c r="D31" s="8" t="s">
        <v>20</v>
      </c>
      <c r="E31" s="10">
        <v>-350</v>
      </c>
    </row>
    <row r="32" spans="1:5" x14ac:dyDescent="0.25">
      <c r="A32" s="8" t="s">
        <v>5</v>
      </c>
      <c r="B32" s="8" t="s">
        <v>6</v>
      </c>
      <c r="C32" s="9">
        <v>45448</v>
      </c>
      <c r="D32" s="8" t="s">
        <v>22</v>
      </c>
      <c r="E32" s="10">
        <v>5000</v>
      </c>
    </row>
    <row r="33" spans="1:5" x14ac:dyDescent="0.25">
      <c r="A33" s="8" t="s">
        <v>8</v>
      </c>
      <c r="B33" s="8" t="s">
        <v>9</v>
      </c>
      <c r="C33" s="9">
        <v>45453</v>
      </c>
      <c r="D33" s="8" t="s">
        <v>22</v>
      </c>
      <c r="E33" s="10">
        <v>-1200</v>
      </c>
    </row>
    <row r="34" spans="1:5" x14ac:dyDescent="0.25">
      <c r="A34" s="8" t="s">
        <v>10</v>
      </c>
      <c r="B34" s="8" t="s">
        <v>9</v>
      </c>
      <c r="C34" s="9">
        <v>45458</v>
      </c>
      <c r="D34" s="8" t="s">
        <v>22</v>
      </c>
      <c r="E34" s="10">
        <v>-650</v>
      </c>
    </row>
    <row r="35" spans="1:5" x14ac:dyDescent="0.25">
      <c r="A35" s="8" t="s">
        <v>11</v>
      </c>
      <c r="B35" s="8" t="s">
        <v>9</v>
      </c>
      <c r="C35" s="9">
        <v>45463</v>
      </c>
      <c r="D35" s="8" t="s">
        <v>22</v>
      </c>
      <c r="E35" s="10">
        <v>-100</v>
      </c>
    </row>
    <row r="36" spans="1:5" ht="30" x14ac:dyDescent="0.25">
      <c r="A36" s="8" t="s">
        <v>23</v>
      </c>
      <c r="B36" s="8" t="s">
        <v>6</v>
      </c>
      <c r="C36" s="9">
        <v>45468</v>
      </c>
      <c r="D36" s="8" t="s">
        <v>22</v>
      </c>
      <c r="E36" s="10">
        <v>2400</v>
      </c>
    </row>
    <row r="37" spans="1:5" x14ac:dyDescent="0.25">
      <c r="A37" s="8" t="s">
        <v>13</v>
      </c>
      <c r="B37" s="8" t="s">
        <v>9</v>
      </c>
      <c r="C37" s="9">
        <v>45471</v>
      </c>
      <c r="D37" s="8" t="s">
        <v>22</v>
      </c>
      <c r="E37" s="10">
        <v>-400</v>
      </c>
    </row>
    <row r="38" spans="1:5" x14ac:dyDescent="0.25">
      <c r="A38" s="8" t="s">
        <v>5</v>
      </c>
      <c r="B38" s="8" t="s">
        <v>6</v>
      </c>
      <c r="C38" s="9">
        <v>45478</v>
      </c>
      <c r="D38" s="8" t="s">
        <v>24</v>
      </c>
      <c r="E38" s="10">
        <v>5000</v>
      </c>
    </row>
    <row r="39" spans="1:5" x14ac:dyDescent="0.25">
      <c r="A39" s="8" t="s">
        <v>8</v>
      </c>
      <c r="B39" s="8" t="s">
        <v>9</v>
      </c>
      <c r="C39" s="9">
        <v>45483</v>
      </c>
      <c r="D39" s="8" t="s">
        <v>24</v>
      </c>
      <c r="E39" s="10">
        <v>-1200</v>
      </c>
    </row>
    <row r="40" spans="1:5" x14ac:dyDescent="0.25">
      <c r="A40" s="8" t="s">
        <v>10</v>
      </c>
      <c r="B40" s="8" t="s">
        <v>9</v>
      </c>
      <c r="C40" s="9">
        <v>45488</v>
      </c>
      <c r="D40" s="8" t="s">
        <v>24</v>
      </c>
      <c r="E40" s="10">
        <v>-700</v>
      </c>
    </row>
    <row r="41" spans="1:5" x14ac:dyDescent="0.25">
      <c r="A41" s="8" t="s">
        <v>11</v>
      </c>
      <c r="B41" s="8" t="s">
        <v>9</v>
      </c>
      <c r="C41" s="9">
        <v>45493</v>
      </c>
      <c r="D41" s="8" t="s">
        <v>24</v>
      </c>
      <c r="E41" s="10">
        <v>-100</v>
      </c>
    </row>
    <row r="42" spans="1:5" ht="30" x14ac:dyDescent="0.25">
      <c r="A42" s="8" t="s">
        <v>25</v>
      </c>
      <c r="B42" s="8" t="s">
        <v>6</v>
      </c>
      <c r="C42" s="9">
        <v>45498</v>
      </c>
      <c r="D42" s="8" t="s">
        <v>24</v>
      </c>
      <c r="E42" s="10">
        <v>2600</v>
      </c>
    </row>
    <row r="43" spans="1:5" x14ac:dyDescent="0.25">
      <c r="A43" s="8" t="s">
        <v>13</v>
      </c>
      <c r="B43" s="8" t="s">
        <v>9</v>
      </c>
      <c r="C43" s="9">
        <v>45501</v>
      </c>
      <c r="D43" s="8" t="s">
        <v>24</v>
      </c>
      <c r="E43" s="10">
        <v>-450</v>
      </c>
    </row>
    <row r="44" spans="1:5" x14ac:dyDescent="0.25">
      <c r="A44" s="8" t="s">
        <v>5</v>
      </c>
      <c r="B44" s="8" t="s">
        <v>6</v>
      </c>
      <c r="C44" s="9">
        <v>45509</v>
      </c>
      <c r="D44" s="8" t="s">
        <v>26</v>
      </c>
      <c r="E44" s="10">
        <v>5000</v>
      </c>
    </row>
    <row r="45" spans="1:5" x14ac:dyDescent="0.25">
      <c r="A45" s="8" t="s">
        <v>8</v>
      </c>
      <c r="B45" s="8" t="s">
        <v>9</v>
      </c>
      <c r="C45" s="9">
        <v>45514</v>
      </c>
      <c r="D45" s="8" t="s">
        <v>26</v>
      </c>
      <c r="E45" s="10">
        <v>-1200</v>
      </c>
    </row>
    <row r="46" spans="1:5" x14ac:dyDescent="0.25">
      <c r="A46" s="8" t="s">
        <v>10</v>
      </c>
      <c r="B46" s="8" t="s">
        <v>9</v>
      </c>
      <c r="C46" s="9">
        <v>45519</v>
      </c>
      <c r="D46" s="8" t="s">
        <v>26</v>
      </c>
      <c r="E46" s="10">
        <v>-750</v>
      </c>
    </row>
    <row r="47" spans="1:5" x14ac:dyDescent="0.25">
      <c r="A47" s="8" t="s">
        <v>11</v>
      </c>
      <c r="B47" s="8" t="s">
        <v>9</v>
      </c>
      <c r="C47" s="9">
        <v>45524</v>
      </c>
      <c r="D47" s="8" t="s">
        <v>26</v>
      </c>
      <c r="E47" s="10">
        <v>-100</v>
      </c>
    </row>
    <row r="48" spans="1:5" ht="30" x14ac:dyDescent="0.25">
      <c r="A48" s="8" t="s">
        <v>27</v>
      </c>
      <c r="B48" s="8" t="s">
        <v>6</v>
      </c>
      <c r="C48" s="9">
        <v>45529</v>
      </c>
      <c r="D48" s="8" t="s">
        <v>26</v>
      </c>
      <c r="E48" s="10">
        <v>2800</v>
      </c>
    </row>
    <row r="49" spans="1:5" x14ac:dyDescent="0.25">
      <c r="A49" s="8" t="s">
        <v>13</v>
      </c>
      <c r="B49" s="8" t="s">
        <v>9</v>
      </c>
      <c r="C49" s="9">
        <v>45532</v>
      </c>
      <c r="D49" s="8" t="s">
        <v>26</v>
      </c>
      <c r="E49" s="10">
        <v>-500</v>
      </c>
    </row>
  </sheetData>
  <conditionalFormatting sqref="B1:B1048576">
    <cfRule type="cellIs" dxfId="18" priority="1" operator="equal">
      <formula>"Despesa"</formula>
    </cfRule>
    <cfRule type="cellIs" dxfId="17" priority="2" operator="equal">
      <formula>"Receita"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A10" workbookViewId="0">
      <selection activeCell="A15" sqref="A15:XFD25"/>
    </sheetView>
  </sheetViews>
  <sheetFormatPr defaultRowHeight="15" x14ac:dyDescent="0.25"/>
  <cols>
    <col min="1" max="1" width="18" customWidth="1"/>
    <col min="2" max="2" width="19.28515625" customWidth="1"/>
    <col min="3" max="3" width="9.140625" customWidth="1"/>
    <col min="4" max="4" width="17.85546875" hidden="1" customWidth="1"/>
    <col min="5" max="5" width="18.28515625" customWidth="1"/>
    <col min="6" max="6" width="7.28515625" hidden="1" customWidth="1"/>
    <col min="7" max="7" width="12.7109375" customWidth="1"/>
    <col min="8" max="8" width="13.28515625" style="4" customWidth="1"/>
    <col min="9" max="9" width="7.28515625" customWidth="1"/>
    <col min="10" max="10" width="8.85546875" customWidth="1"/>
    <col min="11" max="13" width="7.28515625" customWidth="1"/>
    <col min="14" max="14" width="8.85546875" customWidth="1"/>
    <col min="15" max="17" width="7.28515625" customWidth="1"/>
    <col min="18" max="18" width="8.85546875" customWidth="1"/>
    <col min="19" max="21" width="7.28515625" customWidth="1"/>
    <col min="22" max="22" width="8.85546875" customWidth="1"/>
    <col min="23" max="25" width="7.28515625" customWidth="1"/>
    <col min="26" max="26" width="8.85546875" customWidth="1"/>
    <col min="27" max="29" width="7.28515625" customWidth="1"/>
    <col min="30" max="30" width="8.85546875" customWidth="1"/>
    <col min="31" max="33" width="7.28515625" customWidth="1"/>
    <col min="34" max="34" width="13.42578125" bestFit="1" customWidth="1"/>
    <col min="35" max="35" width="9.42578125" customWidth="1"/>
    <col min="36" max="50" width="8.140625" customWidth="1"/>
    <col min="51" max="51" width="12.42578125" bestFit="1" customWidth="1"/>
    <col min="52" max="52" width="8.85546875" customWidth="1"/>
    <col min="53" max="53" width="11.85546875" bestFit="1" customWidth="1"/>
    <col min="54" max="54" width="10.7109375" bestFit="1" customWidth="1"/>
  </cols>
  <sheetData>
    <row r="1" spans="1:8" x14ac:dyDescent="0.25">
      <c r="A1" s="2" t="s">
        <v>32</v>
      </c>
      <c r="B1" s="2" t="s">
        <v>31</v>
      </c>
      <c r="F1" s="11"/>
      <c r="G1" s="11"/>
      <c r="H1" s="11"/>
    </row>
    <row r="2" spans="1:8" x14ac:dyDescent="0.25">
      <c r="A2" s="2" t="s">
        <v>28</v>
      </c>
      <c r="B2" t="s">
        <v>9</v>
      </c>
      <c r="C2" t="s">
        <v>6</v>
      </c>
      <c r="D2" t="s">
        <v>29</v>
      </c>
      <c r="E2" t="s">
        <v>33</v>
      </c>
      <c r="F2" s="12"/>
      <c r="G2" s="12" t="s">
        <v>3</v>
      </c>
      <c r="H2" s="12" t="s">
        <v>34</v>
      </c>
    </row>
    <row r="3" spans="1:8" x14ac:dyDescent="0.25">
      <c r="A3" s="3" t="s">
        <v>7</v>
      </c>
      <c r="B3" s="1">
        <v>-1850</v>
      </c>
      <c r="C3" s="1">
        <v>6200</v>
      </c>
      <c r="D3" s="1"/>
      <c r="E3" s="1">
        <v>4350</v>
      </c>
      <c r="F3">
        <f>VALUE(E3)</f>
        <v>4350</v>
      </c>
      <c r="G3" t="str">
        <f>A3</f>
        <v>Janeiro</v>
      </c>
      <c r="H3" s="4">
        <f>F3</f>
        <v>4350</v>
      </c>
    </row>
    <row r="4" spans="1:8" x14ac:dyDescent="0.25">
      <c r="A4" s="3" t="s">
        <v>14</v>
      </c>
      <c r="B4" s="1">
        <v>-1950</v>
      </c>
      <c r="C4" s="1">
        <v>6500</v>
      </c>
      <c r="D4" s="1"/>
      <c r="E4" s="1">
        <v>4550</v>
      </c>
      <c r="F4">
        <f t="shared" ref="F4:F10" si="0">VALUE(E4)</f>
        <v>4550</v>
      </c>
      <c r="G4" t="str">
        <f t="shared" ref="G4:G11" si="1">A4</f>
        <v>Fevereiro</v>
      </c>
      <c r="H4" s="4">
        <f>H3+F4</f>
        <v>8900</v>
      </c>
    </row>
    <row r="5" spans="1:8" x14ac:dyDescent="0.25">
      <c r="A5" s="3" t="s">
        <v>16</v>
      </c>
      <c r="B5" s="1">
        <v>-2050</v>
      </c>
      <c r="C5" s="1">
        <v>6800</v>
      </c>
      <c r="D5" s="1"/>
      <c r="E5" s="1">
        <v>4750</v>
      </c>
      <c r="F5">
        <f t="shared" si="0"/>
        <v>4750</v>
      </c>
      <c r="G5" t="str">
        <f t="shared" si="1"/>
        <v>Março</v>
      </c>
      <c r="H5" s="4">
        <f>H4+F5</f>
        <v>13650</v>
      </c>
    </row>
    <row r="6" spans="1:8" x14ac:dyDescent="0.25">
      <c r="A6" s="3" t="s">
        <v>18</v>
      </c>
      <c r="B6" s="1">
        <v>-2150</v>
      </c>
      <c r="C6" s="1">
        <v>7000</v>
      </c>
      <c r="D6" s="1"/>
      <c r="E6" s="1">
        <v>4850</v>
      </c>
      <c r="F6">
        <f t="shared" si="0"/>
        <v>4850</v>
      </c>
      <c r="G6" t="str">
        <f t="shared" si="1"/>
        <v>Abril</v>
      </c>
      <c r="H6" s="4">
        <f>H5+F6</f>
        <v>18500</v>
      </c>
    </row>
    <row r="7" spans="1:8" x14ac:dyDescent="0.25">
      <c r="A7" s="3" t="s">
        <v>20</v>
      </c>
      <c r="B7" s="1">
        <v>-2250</v>
      </c>
      <c r="C7" s="1">
        <v>7200</v>
      </c>
      <c r="D7" s="1"/>
      <c r="E7" s="1">
        <v>4950</v>
      </c>
      <c r="F7">
        <f t="shared" si="0"/>
        <v>4950</v>
      </c>
      <c r="G7" t="str">
        <f t="shared" si="1"/>
        <v>Maio</v>
      </c>
      <c r="H7" s="4">
        <f>H6+F7</f>
        <v>23450</v>
      </c>
    </row>
    <row r="8" spans="1:8" x14ac:dyDescent="0.25">
      <c r="A8" s="3" t="s">
        <v>22</v>
      </c>
      <c r="B8" s="1">
        <v>-2350</v>
      </c>
      <c r="C8" s="1">
        <v>7400</v>
      </c>
      <c r="D8" s="1"/>
      <c r="E8" s="1">
        <v>5050</v>
      </c>
      <c r="F8">
        <f t="shared" si="0"/>
        <v>5050</v>
      </c>
      <c r="G8" t="str">
        <f t="shared" si="1"/>
        <v>Junho</v>
      </c>
      <c r="H8" s="4">
        <f>H7+F8</f>
        <v>28500</v>
      </c>
    </row>
    <row r="9" spans="1:8" x14ac:dyDescent="0.25">
      <c r="A9" s="3" t="s">
        <v>24</v>
      </c>
      <c r="B9" s="1">
        <v>-2450</v>
      </c>
      <c r="C9" s="1">
        <v>7600</v>
      </c>
      <c r="D9" s="1"/>
      <c r="E9" s="1">
        <v>5150</v>
      </c>
      <c r="F9">
        <f t="shared" si="0"/>
        <v>5150</v>
      </c>
      <c r="G9" t="str">
        <f t="shared" si="1"/>
        <v>Julho</v>
      </c>
      <c r="H9" s="4">
        <f>H8+F9</f>
        <v>33650</v>
      </c>
    </row>
    <row r="10" spans="1:8" x14ac:dyDescent="0.25">
      <c r="A10" s="3" t="s">
        <v>26</v>
      </c>
      <c r="B10" s="1">
        <v>-2550</v>
      </c>
      <c r="C10" s="1">
        <v>7800</v>
      </c>
      <c r="D10" s="1"/>
      <c r="E10" s="1">
        <v>5250</v>
      </c>
      <c r="F10">
        <f t="shared" si="0"/>
        <v>5250</v>
      </c>
      <c r="G10" t="str">
        <f t="shared" si="1"/>
        <v>Agosto</v>
      </c>
      <c r="H10" s="4">
        <f>H9+F10</f>
        <v>38900</v>
      </c>
    </row>
    <row r="11" spans="1:8" x14ac:dyDescent="0.25">
      <c r="A11" s="3" t="s">
        <v>29</v>
      </c>
      <c r="B11" s="1"/>
      <c r="C11" s="1"/>
      <c r="D11" s="1"/>
      <c r="E11" s="1"/>
      <c r="G11" t="str">
        <f t="shared" si="1"/>
        <v>(vazio)</v>
      </c>
      <c r="H11" s="4">
        <f>H10+F11</f>
        <v>38900</v>
      </c>
    </row>
    <row r="12" spans="1:8" x14ac:dyDescent="0.25">
      <c r="A12" s="3" t="s">
        <v>33</v>
      </c>
      <c r="B12" s="1">
        <v>-17600</v>
      </c>
      <c r="C12" s="1">
        <v>56500</v>
      </c>
      <c r="D12" s="1"/>
      <c r="E12" s="1">
        <v>38900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A17" sqref="A17"/>
    </sheetView>
  </sheetViews>
  <sheetFormatPr defaultRowHeight="15" x14ac:dyDescent="0.25"/>
  <cols>
    <col min="1" max="1" width="18" customWidth="1"/>
    <col min="2" max="2" width="19.28515625" style="5" customWidth="1"/>
  </cols>
  <sheetData>
    <row r="1" spans="1:2" ht="21" x14ac:dyDescent="0.35">
      <c r="A1" s="14" t="s">
        <v>35</v>
      </c>
      <c r="B1" s="14"/>
    </row>
    <row r="2" spans="1:2" x14ac:dyDescent="0.25">
      <c r="A2" s="2" t="s">
        <v>3</v>
      </c>
      <c r="B2" s="5" t="s">
        <v>26</v>
      </c>
    </row>
    <row r="4" spans="1:2" x14ac:dyDescent="0.25">
      <c r="A4" s="2" t="s">
        <v>28</v>
      </c>
      <c r="B4" s="5" t="s">
        <v>32</v>
      </c>
    </row>
    <row r="5" spans="1:2" x14ac:dyDescent="0.25">
      <c r="A5" s="3" t="s">
        <v>11</v>
      </c>
      <c r="B5" s="5">
        <v>-100</v>
      </c>
    </row>
    <row r="6" spans="1:2" x14ac:dyDescent="0.25">
      <c r="A6" s="3" t="s">
        <v>8</v>
      </c>
      <c r="B6" s="5">
        <v>-1200</v>
      </c>
    </row>
    <row r="7" spans="1:2" x14ac:dyDescent="0.25">
      <c r="A7" s="3" t="s">
        <v>27</v>
      </c>
      <c r="B7" s="5">
        <v>2800</v>
      </c>
    </row>
    <row r="8" spans="1:2" x14ac:dyDescent="0.25">
      <c r="A8" s="3" t="s">
        <v>13</v>
      </c>
      <c r="B8" s="5">
        <v>-500</v>
      </c>
    </row>
    <row r="9" spans="1:2" x14ac:dyDescent="0.25">
      <c r="A9" s="3" t="s">
        <v>5</v>
      </c>
      <c r="B9" s="5">
        <v>5000</v>
      </c>
    </row>
    <row r="10" spans="1:2" x14ac:dyDescent="0.25">
      <c r="A10" s="3" t="s">
        <v>10</v>
      </c>
      <c r="B10" s="5">
        <v>-750</v>
      </c>
    </row>
    <row r="11" spans="1:2" x14ac:dyDescent="0.25">
      <c r="A11" s="3" t="s">
        <v>30</v>
      </c>
      <c r="B11" s="5">
        <v>5250</v>
      </c>
    </row>
    <row r="17" spans="1:2" x14ac:dyDescent="0.25">
      <c r="A17" s="2" t="s">
        <v>28</v>
      </c>
      <c r="B17" s="13" t="s">
        <v>36</v>
      </c>
    </row>
    <row r="18" spans="1:2" x14ac:dyDescent="0.25">
      <c r="A18" s="3" t="s">
        <v>7</v>
      </c>
      <c r="B18" s="13">
        <v>4350</v>
      </c>
    </row>
    <row r="19" spans="1:2" x14ac:dyDescent="0.25">
      <c r="A19" s="3" t="s">
        <v>14</v>
      </c>
      <c r="B19" s="13">
        <v>8900</v>
      </c>
    </row>
    <row r="20" spans="1:2" x14ac:dyDescent="0.25">
      <c r="A20" s="3" t="s">
        <v>16</v>
      </c>
      <c r="B20" s="13">
        <v>13650</v>
      </c>
    </row>
    <row r="21" spans="1:2" x14ac:dyDescent="0.25">
      <c r="A21" s="3" t="s">
        <v>18</v>
      </c>
      <c r="B21" s="13">
        <v>18500</v>
      </c>
    </row>
    <row r="22" spans="1:2" x14ac:dyDescent="0.25">
      <c r="A22" s="3" t="s">
        <v>20</v>
      </c>
      <c r="B22" s="13">
        <v>23450</v>
      </c>
    </row>
    <row r="23" spans="1:2" x14ac:dyDescent="0.25">
      <c r="A23" s="3" t="s">
        <v>22</v>
      </c>
      <c r="B23" s="13">
        <v>28500</v>
      </c>
    </row>
    <row r="24" spans="1:2" x14ac:dyDescent="0.25">
      <c r="A24" s="3" t="s">
        <v>24</v>
      </c>
      <c r="B24" s="13">
        <v>33650</v>
      </c>
    </row>
    <row r="25" spans="1:2" x14ac:dyDescent="0.25">
      <c r="A25" s="3" t="s">
        <v>26</v>
      </c>
      <c r="B25" s="13">
        <v>38900</v>
      </c>
    </row>
    <row r="26" spans="1:2" x14ac:dyDescent="0.25">
      <c r="B26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Caixinha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</dc:creator>
  <cp:lastModifiedBy>JOSELI</cp:lastModifiedBy>
  <dcterms:created xsi:type="dcterms:W3CDTF">2024-12-22T12:05:41Z</dcterms:created>
  <dcterms:modified xsi:type="dcterms:W3CDTF">2024-12-22T13:20:23Z</dcterms:modified>
</cp:coreProperties>
</file>